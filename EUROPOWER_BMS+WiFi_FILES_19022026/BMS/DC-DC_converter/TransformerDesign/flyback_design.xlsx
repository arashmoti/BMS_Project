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<sst xmlns="http://schemas.openxmlformats.org/spreadsheetml/2006/main" count="88" uniqueCount="70">
  <si>
    <t xml:space="preserve">This document has been prepared with reference to AN4137. 
(https://www.onsemi.com/pub/Collateral/AN-4137.pdf.pdf).</t>
  </si>
  <si>
    <t xml:space="preserve">Define The Line Voltage Specifications</t>
  </si>
  <si>
    <r>
      <rPr>
        <sz val="10"/>
        <rFont val="Arial"/>
        <family val="2"/>
        <charset val="1"/>
      </rPr>
      <t xml:space="preserve">Min Line Voltage(V</t>
    </r>
    <r>
      <rPr>
        <vertAlign val="subscript"/>
        <sz val="10"/>
        <rFont val="Arial"/>
        <family val="2"/>
        <charset val="1"/>
      </rPr>
      <t xml:space="preserve">line</t>
    </r>
    <r>
      <rPr>
        <vertAlign val="superscript"/>
        <sz val="10"/>
        <rFont val="Arial"/>
        <family val="2"/>
        <charset val="1"/>
      </rPr>
      <t xml:space="preserve">min</t>
    </r>
    <r>
      <rPr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</si>
  <si>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V</t>
    </r>
    <r>
      <rPr>
        <vertAlign val="subscript"/>
        <sz val="10"/>
        <rFont val="Arial"/>
        <family val="2"/>
        <charset val="1"/>
      </rPr>
      <t xml:space="preserve">AC</t>
    </r>
  </si>
  <si>
    <r>
      <rPr>
        <sz val="10"/>
        <rFont val="Arial"/>
        <family val="2"/>
        <charset val="1"/>
      </rPr>
      <t xml:space="preserve">Max Line Voltage(V</t>
    </r>
    <r>
      <rPr>
        <vertAlign val="subscript"/>
        <sz val="10"/>
        <rFont val="Arial"/>
        <family val="2"/>
        <charset val="1"/>
      </rPr>
      <t xml:space="preserve">line</t>
    </r>
    <r>
      <rPr>
        <vertAlign val="superscript"/>
        <sz val="10"/>
        <rFont val="Arial"/>
        <family val="2"/>
        <charset val="1"/>
      </rPr>
      <t xml:space="preserve">max</t>
    </r>
    <r>
      <rPr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</si>
  <si>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Line Frequency(f</t>
    </r>
    <r>
      <rPr>
        <vertAlign val="subscript"/>
        <sz val="10"/>
        <rFont val="Arial"/>
        <family val="2"/>
        <charset val="1"/>
      </rPr>
      <t xml:space="preserve">L</t>
    </r>
    <r>
      <rPr>
        <sz val="10"/>
        <rFont val="Arial"/>
        <family val="2"/>
        <charset val="1"/>
      </rPr>
      <t xml:space="preserve">)</t>
    </r>
  </si>
  <si>
    <t xml:space="preserve">Hz</t>
  </si>
  <si>
    <t xml:space="preserve">Output</t>
  </si>
  <si>
    <t xml:space="preserve">Vo</t>
  </si>
  <si>
    <t xml:space="preserve">Io(A)</t>
  </si>
  <si>
    <t xml:space="preserve">Po(W)</t>
  </si>
  <si>
    <r>
      <rPr>
        <b val="true"/>
        <sz val="10"/>
        <rFont val="Arial"/>
        <family val="2"/>
        <charset val="1"/>
      </rPr>
      <t xml:space="preserve">K</t>
    </r>
    <r>
      <rPr>
        <b val="true"/>
        <vertAlign val="subscript"/>
        <sz val="10"/>
        <rFont val="Arial"/>
        <family val="2"/>
        <charset val="1"/>
      </rPr>
      <t xml:space="preserve">L(n)</t>
    </r>
  </si>
  <si>
    <t xml:space="preserve">1.st Output For Feedback</t>
  </si>
  <si>
    <t xml:space="preserve">2.st Output </t>
  </si>
  <si>
    <t xml:space="preserve">3.st Output (iso)</t>
  </si>
  <si>
    <r>
      <rPr>
        <sz val="10"/>
        <rFont val="Arial"/>
        <family val="2"/>
        <charset val="1"/>
      </rPr>
      <t xml:space="preserve">Vf</t>
    </r>
    <r>
      <rPr>
        <sz val="7"/>
        <rFont val="Arial"/>
        <family val="2"/>
        <charset val="1"/>
      </rPr>
      <t xml:space="preserve">(Output diode forward voltage drop)</t>
    </r>
  </si>
  <si>
    <t xml:space="preserve">Max Output Power (Po)</t>
  </si>
  <si>
    <t xml:space="preserve">Estimated Efficiency(Eff)</t>
  </si>
  <si>
    <t xml:space="preserve">Max Input Power </t>
  </si>
  <si>
    <t xml:space="preserve">Note:The estimated efficiency (Eff) is set to be 0.7 considering the low voltage outputs.</t>
  </si>
  <si>
    <t xml:space="preserve"> Determine DC Link Capacitor and DC Link Voltage Range</t>
  </si>
  <si>
    <r>
      <rPr>
        <sz val="10"/>
        <rFont val="Arial"/>
        <family val="2"/>
        <charset val="1"/>
      </rPr>
      <t xml:space="preserve">Dch</t>
    </r>
    <r>
      <rPr>
        <sz val="6"/>
        <rFont val="Arial"/>
        <family val="2"/>
        <charset val="1"/>
      </rPr>
      <t xml:space="preserve">(commonly used value)</t>
    </r>
  </si>
  <si>
    <r>
      <rPr>
        <sz val="10"/>
        <rFont val="Arial"/>
        <family val="2"/>
        <charset val="1"/>
      </rPr>
      <t xml:space="preserve">DC link capacitor (C</t>
    </r>
    <r>
      <rPr>
        <vertAlign val="subscript"/>
        <sz val="10"/>
        <rFont val="Arial"/>
        <family val="2"/>
        <charset val="1"/>
      </rPr>
      <t xml:space="preserve">DC</t>
    </r>
    <r>
      <rPr>
        <sz val="10"/>
        <rFont val="Arial"/>
        <family val="2"/>
        <charset val="1"/>
      </rPr>
      <t xml:space="preserve">)(2-3 uf per watt)</t>
    </r>
  </si>
  <si>
    <t xml:space="preserve">uf</t>
  </si>
  <si>
    <r>
      <rPr>
        <sz val="10"/>
        <rFont val="Arial"/>
        <family val="2"/>
        <charset val="1"/>
      </rPr>
      <t xml:space="preserve">Min DC link voltage (V</t>
    </r>
    <r>
      <rPr>
        <vertAlign val="subscript"/>
        <sz val="10"/>
        <rFont val="Arial"/>
        <family val="2"/>
        <charset val="1"/>
      </rPr>
      <t xml:space="preserve">DC</t>
    </r>
    <r>
      <rPr>
        <vertAlign val="superscript"/>
        <sz val="10"/>
        <rFont val="Arial"/>
        <family val="2"/>
        <charset val="1"/>
      </rPr>
      <t xml:space="preserve">Min</t>
    </r>
    <r>
      <rPr>
        <sz val="10"/>
        <rFont val="Arial"/>
        <family val="2"/>
        <charset val="1"/>
      </rPr>
      <t xml:space="preserve">) </t>
    </r>
  </si>
  <si>
    <r>
      <rPr>
        <sz val="10"/>
        <rFont val="Arial"/>
        <family val="2"/>
        <charset val="1"/>
      </rPr>
      <t xml:space="preserve">V</t>
    </r>
    <r>
      <rPr>
        <vertAlign val="subscript"/>
        <sz val="10"/>
        <rFont val="Arial"/>
        <family val="2"/>
        <charset val="1"/>
      </rPr>
      <t xml:space="preserve">DC</t>
    </r>
  </si>
  <si>
    <r>
      <rPr>
        <sz val="10"/>
        <rFont val="Arial"/>
        <family val="2"/>
        <charset val="1"/>
      </rPr>
      <t xml:space="preserve">Max DC link voltage (V</t>
    </r>
    <r>
      <rPr>
        <vertAlign val="subscript"/>
        <sz val="10"/>
        <rFont val="Arial"/>
        <family val="2"/>
        <charset val="1"/>
      </rPr>
      <t xml:space="preserve">DC</t>
    </r>
    <r>
      <rPr>
        <vertAlign val="superscript"/>
        <sz val="10"/>
        <rFont val="Arial"/>
        <family val="2"/>
        <charset val="1"/>
      </rPr>
      <t xml:space="preserve">Max</t>
    </r>
    <r>
      <rPr>
        <sz val="10"/>
        <rFont val="Arial"/>
        <family val="2"/>
        <charset val="1"/>
      </rPr>
      <t xml:space="preserve">) </t>
    </r>
  </si>
  <si>
    <t xml:space="preserve"> Determine Maximum duty ratio (Dmax)</t>
  </si>
  <si>
    <r>
      <rPr>
        <sz val="10"/>
        <rFont val="Arial"/>
        <family val="2"/>
        <charset val="1"/>
      </rPr>
      <t xml:space="preserve">F</t>
    </r>
    <r>
      <rPr>
        <vertAlign val="subscript"/>
        <sz val="10"/>
        <rFont val="Arial"/>
        <family val="2"/>
        <charset val="1"/>
      </rPr>
      <t xml:space="preserve">sw</t>
    </r>
  </si>
  <si>
    <t xml:space="preserve">Maximum duty ratio (Dmax) </t>
  </si>
  <si>
    <t xml:space="preserve">duty</t>
  </si>
  <si>
    <r>
      <rPr>
        <sz val="10"/>
        <rFont val="Arial"/>
        <family val="2"/>
        <charset val="1"/>
      </rPr>
      <t xml:space="preserve">Max nominal MOSFET voltage (V</t>
    </r>
    <r>
      <rPr>
        <vertAlign val="subscript"/>
        <sz val="10"/>
        <rFont val="Arial"/>
        <family val="2"/>
        <charset val="1"/>
      </rPr>
      <t xml:space="preserve">ds</t>
    </r>
    <r>
      <rPr>
        <vertAlign val="superscript"/>
        <sz val="11"/>
        <rFont val="Arial"/>
        <family val="2"/>
        <charset val="1"/>
      </rPr>
      <t xml:space="preserve"> nom</t>
    </r>
    <r>
      <rPr>
        <sz val="10"/>
        <rFont val="Arial"/>
        <family val="2"/>
        <charset val="1"/>
      </rPr>
      <t xml:space="preserve">) </t>
    </r>
  </si>
  <si>
    <t xml:space="preserve">V</t>
  </si>
  <si>
    <r>
      <rPr>
        <sz val="10"/>
        <rFont val="Arial"/>
        <family val="2"/>
        <charset val="1"/>
      </rPr>
      <t xml:space="preserve">Output voltage reflected to primary (V</t>
    </r>
    <r>
      <rPr>
        <vertAlign val="subscript"/>
        <sz val="10"/>
        <rFont val="Arial"/>
        <family val="2"/>
        <charset val="1"/>
      </rPr>
      <t xml:space="preserve">RO)</t>
    </r>
  </si>
  <si>
    <t xml:space="preserve">V </t>
  </si>
  <si>
    <t xml:space="preserve">Determine the transformer primary side  inductance (Lm).</t>
  </si>
  <si>
    <r>
      <rPr>
        <sz val="10"/>
        <rFont val="Arial"/>
        <family val="2"/>
        <charset val="1"/>
      </rPr>
      <t xml:space="preserve">K</t>
    </r>
    <r>
      <rPr>
        <vertAlign val="subscript"/>
        <sz val="10"/>
        <rFont val="Arial"/>
        <family val="2"/>
        <charset val="1"/>
      </rPr>
      <t xml:space="preserve">RF</t>
    </r>
    <r>
      <rPr>
        <sz val="10"/>
        <rFont val="Arial"/>
        <family val="2"/>
        <charset val="1"/>
      </rPr>
      <t xml:space="preserve"> (0.4-0.8 For european input range)</t>
    </r>
  </si>
  <si>
    <t xml:space="preserve">-</t>
  </si>
  <si>
    <t xml:space="preserve">Lm</t>
  </si>
  <si>
    <t xml:space="preserve">H</t>
  </si>
  <si>
    <t xml:space="preserve">∆I</t>
  </si>
  <si>
    <t xml:space="preserve">A</t>
  </si>
  <si>
    <r>
      <rPr>
        <sz val="10"/>
        <rFont val="Arial"/>
        <family val="2"/>
        <charset val="1"/>
      </rPr>
      <t xml:space="preserve">I</t>
    </r>
    <r>
      <rPr>
        <vertAlign val="subscript"/>
        <sz val="10"/>
        <rFont val="Arial"/>
        <family val="2"/>
        <charset val="1"/>
      </rPr>
      <t xml:space="preserve">EDC</t>
    </r>
  </si>
  <si>
    <r>
      <rPr>
        <sz val="10"/>
        <rFont val="Arial"/>
        <family val="2"/>
        <charset val="1"/>
      </rPr>
      <t xml:space="preserve">I</t>
    </r>
    <r>
      <rPr>
        <vertAlign val="subscript"/>
        <sz val="10"/>
        <rFont val="Arial"/>
        <family val="2"/>
        <charset val="1"/>
      </rPr>
      <t xml:space="preserve">ds</t>
    </r>
    <r>
      <rPr>
        <vertAlign val="superscript"/>
        <sz val="10"/>
        <rFont val="Arial"/>
        <family val="2"/>
        <charset val="1"/>
      </rPr>
      <t xml:space="preserve">peak</t>
    </r>
  </si>
  <si>
    <r>
      <rPr>
        <sz val="10"/>
        <rFont val="Arial"/>
        <family val="2"/>
        <charset val="1"/>
      </rPr>
      <t xml:space="preserve">I</t>
    </r>
    <r>
      <rPr>
        <vertAlign val="subscript"/>
        <sz val="10"/>
        <rFont val="Arial"/>
        <family val="2"/>
        <charset val="1"/>
      </rPr>
      <t xml:space="preserve">ds</t>
    </r>
    <r>
      <rPr>
        <vertAlign val="superscript"/>
        <sz val="10"/>
        <rFont val="Arial"/>
        <family val="2"/>
        <charset val="1"/>
      </rPr>
      <t xml:space="preserve">rms</t>
    </r>
  </si>
  <si>
    <t xml:space="preserve">Determine the proper core and the minimum  primary turns.</t>
  </si>
  <si>
    <r>
      <rPr>
        <sz val="10"/>
        <rFont val="Arial"/>
        <family val="2"/>
        <charset val="1"/>
      </rPr>
      <t xml:space="preserve">B</t>
    </r>
    <r>
      <rPr>
        <vertAlign val="subscript"/>
        <sz val="10"/>
        <rFont val="Arial"/>
        <family val="2"/>
        <charset val="1"/>
      </rPr>
      <t xml:space="preserve">max</t>
    </r>
  </si>
  <si>
    <t xml:space="preserve">T</t>
  </si>
  <si>
    <r>
      <rPr>
        <sz val="10"/>
        <rFont val="Arial"/>
        <family val="2"/>
        <charset val="1"/>
      </rPr>
      <t xml:space="preserve">I</t>
    </r>
    <r>
      <rPr>
        <vertAlign val="subscript"/>
        <sz val="10"/>
        <rFont val="Arial"/>
        <family val="2"/>
        <charset val="1"/>
      </rPr>
      <t xml:space="preserve">over</t>
    </r>
  </si>
  <si>
    <t xml:space="preserve">Ae (from ferrite datasheet)</t>
  </si>
  <si>
    <r>
      <rPr>
        <sz val="10"/>
        <rFont val="Arial"/>
        <family val="2"/>
        <charset val="1"/>
      </rPr>
      <t xml:space="preserve">mm</t>
    </r>
    <r>
      <rPr>
        <vertAlign val="superscript"/>
        <sz val="10"/>
        <rFont val="Arial"/>
        <family val="2"/>
        <charset val="1"/>
      </rPr>
      <t xml:space="preserve">2</t>
    </r>
  </si>
  <si>
    <t xml:space="preserve">Np</t>
  </si>
  <si>
    <t xml:space="preserve">Turns</t>
  </si>
  <si>
    <t xml:space="preserve">Determine the number of turns for each output</t>
  </si>
  <si>
    <t xml:space="preserve">Ns 1.st output</t>
  </si>
  <si>
    <t xml:space="preserve">Ns 2.nd output</t>
  </si>
  <si>
    <t xml:space="preserve">Ns 3.rd output</t>
  </si>
  <si>
    <t xml:space="preserve">Determine The Air Gap</t>
  </si>
  <si>
    <t xml:space="preserve">Air gap</t>
  </si>
  <si>
    <t xml:space="preserve">mm</t>
  </si>
  <si>
    <t xml:space="preserve">AL Value</t>
  </si>
  <si>
    <t xml:space="preserve">nH</t>
  </si>
  <si>
    <t xml:space="preserve">Minumum turns for 0.1mm gap n87 material</t>
  </si>
  <si>
    <t xml:space="preserve"> 1.st output Rms current</t>
  </si>
  <si>
    <t xml:space="preserve"> 2.nd output Rms current</t>
  </si>
  <si>
    <t xml:space="preserve"> 3.rd output Rms current</t>
  </si>
  <si>
    <t xml:space="preserve">J Current Density</t>
  </si>
  <si>
    <t xml:space="preserve">1.nd output winding diameter</t>
  </si>
  <si>
    <t xml:space="preserve">2.nd output winding diameter</t>
  </si>
  <si>
    <t xml:space="preserve">3.nd output winding diameter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</si>
</sst>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#,##0.0000"/>
    <numFmt numFmtId="168" formatCode="#,##0.000"/>
    <numFmt numFmtId="169" formatCode="0.000"/>
    <numFmt numFmtId="170" formatCode="0.00000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vertAlign val="subscript"/>
      <sz val="10"/>
      <name val="Arial"/>
      <family val="2"/>
      <charset val="1"/>
    </font>
    <font>
      <vertAlign val="superscript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sz val="7"/>
      <name val="Arial"/>
      <family val="2"/>
      <charset val="1"/>
    </font>
    <font>
      <sz val="6"/>
      <name val="Arial"/>
      <family val="2"/>
      <charset val="1"/>
    </font>
    <font>
      <vertAlign val="superscript"/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  <fill>
      <patternFill patternType="solid">
        <fgColor rgb="FFFFFF66"/>
        <bgColor rgb="FFFFFF00"/>
      </patternFill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onsemi.com/pub/Collateral/AN-4137.pdf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true" showOutlineSymbols="true" defaultGridColor="true" view="normal" topLeftCell="A25" colorId="64" zoomScale="90" zoomScaleNormal="90" zoomScalePageLayoutView="100" workbookViewId="0">
      <selection pane="topLeft" activeCell="C55" activeCellId="0" sqref="C55"/>
    </sheetView>
  </sheetViews>
  <sheetFormatPr defaultColWidth="8.54296875" defaultRowHeight="12.8" zeroHeight="false" outlineLevelRow="0" outlineLevelCol="0"/>
  <cols>
    <col collapsed="false" customWidth="true" hidden="false" outlineLevel="0" max="1" min="1" style="1" width="3.22"/>
    <col collapsed="false" customWidth="true" hidden="false" outlineLevel="0" max="2" min="2" style="1" width="34.25"/>
    <col collapsed="false" customWidth="true" hidden="false" outlineLevel="0" max="3" min="3" style="2" width="17.36"/>
    <col collapsed="false" customWidth="true" hidden="false" outlineLevel="0" max="4" min="4" style="2" width="5.52"/>
    <col collapsed="false" customWidth="true" hidden="false" outlineLevel="0" max="5" min="5" style="1" width="6.74"/>
    <col collapsed="false" customWidth="true" hidden="false" outlineLevel="0" max="6" min="6" style="1" width="4.67"/>
    <col collapsed="false" customWidth="true" hidden="false" outlineLevel="0" max="7" min="7" style="1" width="2.69"/>
    <col collapsed="false" customWidth="true" hidden="false" outlineLevel="0" max="8" min="8" style="1" width="18.58"/>
    <col collapsed="false" customWidth="true" hidden="false" outlineLevel="0" max="1025" min="9" style="1" width="11.52"/>
  </cols>
  <sheetData>
    <row r="1" customFormat="false" ht="12.8" hidden="false" customHeight="true" outlineLevel="0" collapsed="false">
      <c r="B1" s="3" t="s">
        <v>0</v>
      </c>
      <c r="C1" s="3"/>
      <c r="D1" s="3"/>
      <c r="E1" s="3"/>
      <c r="F1" s="3"/>
      <c r="G1" s="3"/>
      <c r="H1" s="3"/>
    </row>
    <row r="2" customFormat="false" ht="12.8" hidden="false" customHeight="false" outlineLevel="0" collapsed="false">
      <c r="A2" s="4" t="n">
        <v>1</v>
      </c>
      <c r="B2" s="4" t="s">
        <v>1</v>
      </c>
      <c r="C2" s="4"/>
      <c r="D2" s="4"/>
      <c r="E2" s="4"/>
      <c r="F2" s="4"/>
    </row>
    <row r="3" customFormat="false" ht="14.9" hidden="false" customHeight="false" outlineLevel="0" collapsed="false">
      <c r="A3" s="5"/>
      <c r="B3" s="6" t="s">
        <v>2</v>
      </c>
      <c r="C3" s="7" t="n">
        <v>75</v>
      </c>
      <c r="D3" s="8" t="s">
        <v>3</v>
      </c>
      <c r="E3" s="8"/>
      <c r="F3" s="8"/>
    </row>
    <row r="4" customFormat="false" ht="14.9" hidden="false" customHeight="false" outlineLevel="0" collapsed="false">
      <c r="A4" s="5"/>
      <c r="B4" s="6" t="s">
        <v>4</v>
      </c>
      <c r="C4" s="7" t="n">
        <v>440</v>
      </c>
      <c r="D4" s="8" t="s">
        <v>3</v>
      </c>
      <c r="E4" s="8"/>
      <c r="F4" s="8"/>
    </row>
    <row r="5" customFormat="false" ht="12.8" hidden="false" customHeight="false" outlineLevel="0" collapsed="false">
      <c r="A5" s="5"/>
      <c r="B5" s="6" t="s">
        <v>5</v>
      </c>
      <c r="C5" s="7" t="n">
        <v>10000</v>
      </c>
      <c r="D5" s="8" t="s">
        <v>6</v>
      </c>
      <c r="E5" s="8"/>
      <c r="F5" s="8"/>
    </row>
    <row r="6" customFormat="false" ht="12.8" hidden="false" customHeight="false" outlineLevel="0" collapsed="false">
      <c r="A6" s="9"/>
      <c r="B6" s="9"/>
      <c r="C6" s="9"/>
      <c r="D6" s="9"/>
      <c r="E6" s="9"/>
      <c r="F6" s="9"/>
    </row>
    <row r="7" customFormat="false" ht="14.9" hidden="false" customHeight="false" outlineLevel="0" collapsed="false">
      <c r="A7" s="10"/>
      <c r="B7" s="4" t="s">
        <v>7</v>
      </c>
      <c r="C7" s="11" t="s">
        <v>8</v>
      </c>
      <c r="D7" s="11" t="s">
        <v>9</v>
      </c>
      <c r="E7" s="11" t="s">
        <v>10</v>
      </c>
      <c r="F7" s="11" t="s">
        <v>11</v>
      </c>
    </row>
    <row r="8" customFormat="false" ht="12.8" hidden="false" customHeight="false" outlineLevel="0" collapsed="false">
      <c r="A8" s="5"/>
      <c r="B8" s="6" t="s">
        <v>12</v>
      </c>
      <c r="C8" s="7" t="n">
        <v>24</v>
      </c>
      <c r="D8" s="7" t="n">
        <v>1.12</v>
      </c>
      <c r="E8" s="8" t="n">
        <f aca="false">D8*C8</f>
        <v>26.88</v>
      </c>
      <c r="F8" s="8" t="n">
        <f aca="false">E8/E12</f>
        <v>0.997772828507795</v>
      </c>
    </row>
    <row r="9" customFormat="false" ht="12.8" hidden="false" customHeight="false" outlineLevel="0" collapsed="false">
      <c r="A9" s="5"/>
      <c r="B9" s="6" t="s">
        <v>13</v>
      </c>
      <c r="C9" s="7" t="n">
        <v>12</v>
      </c>
      <c r="D9" s="7" t="n">
        <v>0.005</v>
      </c>
      <c r="E9" s="8" t="n">
        <f aca="false">D9*C9</f>
        <v>0.06</v>
      </c>
      <c r="F9" s="8" t="n">
        <f aca="false">E9/E12</f>
        <v>0.0022271714922049</v>
      </c>
    </row>
    <row r="10" customFormat="false" ht="12.8" hidden="false" customHeight="false" outlineLevel="0" collapsed="false">
      <c r="A10" s="5"/>
      <c r="B10" s="6" t="s">
        <v>14</v>
      </c>
      <c r="C10" s="7" t="n">
        <v>0</v>
      </c>
      <c r="D10" s="7" t="n">
        <v>0</v>
      </c>
      <c r="E10" s="8" t="n">
        <f aca="false">D10*C10</f>
        <v>0</v>
      </c>
      <c r="F10" s="8" t="n">
        <f aca="false">E10/E12</f>
        <v>0</v>
      </c>
    </row>
    <row r="11" customFormat="false" ht="12.8" hidden="false" customHeight="false" outlineLevel="0" collapsed="false">
      <c r="A11" s="5"/>
      <c r="B11" s="6" t="s">
        <v>15</v>
      </c>
      <c r="C11" s="7" t="n">
        <v>0.7</v>
      </c>
      <c r="D11" s="8"/>
      <c r="E11" s="8"/>
      <c r="F11" s="8"/>
      <c r="I11" s="12"/>
    </row>
    <row r="12" customFormat="false" ht="12.8" hidden="false" customHeight="false" outlineLevel="0" collapsed="false">
      <c r="A12" s="5"/>
      <c r="B12" s="13" t="s">
        <v>16</v>
      </c>
      <c r="C12" s="13"/>
      <c r="D12" s="13"/>
      <c r="E12" s="8" t="n">
        <f aca="false">SUM(E8:E10)</f>
        <v>26.94</v>
      </c>
      <c r="F12" s="8"/>
    </row>
    <row r="13" customFormat="false" ht="12.8" hidden="false" customHeight="false" outlineLevel="0" collapsed="false">
      <c r="A13" s="5"/>
      <c r="B13" s="13" t="s">
        <v>17</v>
      </c>
      <c r="C13" s="13"/>
      <c r="D13" s="13"/>
      <c r="E13" s="8" t="n">
        <v>0.8</v>
      </c>
      <c r="F13" s="8"/>
    </row>
    <row r="14" customFormat="false" ht="12.8" hidden="false" customHeight="false" outlineLevel="0" collapsed="false">
      <c r="A14" s="5"/>
      <c r="B14" s="13" t="s">
        <v>18</v>
      </c>
      <c r="C14" s="13"/>
      <c r="D14" s="13"/>
      <c r="E14" s="14" t="n">
        <f aca="false">E12/E13</f>
        <v>33.675</v>
      </c>
      <c r="F14" s="8"/>
    </row>
    <row r="15" customFormat="false" ht="10.15" hidden="false" customHeight="true" outlineLevel="0" collapsed="false">
      <c r="A15" s="15" t="s">
        <v>19</v>
      </c>
      <c r="B15" s="15"/>
      <c r="C15" s="15"/>
      <c r="D15" s="15"/>
      <c r="E15" s="15"/>
      <c r="F15" s="15"/>
    </row>
    <row r="16" customFormat="false" ht="8.55" hidden="false" customHeight="true" outlineLevel="0" collapsed="false">
      <c r="A16" s="15"/>
      <c r="B16" s="15"/>
      <c r="C16" s="15"/>
      <c r="D16" s="15"/>
      <c r="E16" s="15"/>
      <c r="F16" s="15"/>
    </row>
    <row r="17" customFormat="false" ht="12.8" hidden="false" customHeight="false" outlineLevel="0" collapsed="false">
      <c r="A17" s="4" t="n">
        <v>2</v>
      </c>
      <c r="B17" s="4" t="s">
        <v>20</v>
      </c>
      <c r="C17" s="4"/>
      <c r="D17" s="4"/>
      <c r="E17" s="4"/>
      <c r="F17" s="4"/>
    </row>
    <row r="18" customFormat="false" ht="12.8" hidden="false" customHeight="false" outlineLevel="0" collapsed="false">
      <c r="A18" s="5"/>
      <c r="B18" s="6" t="s">
        <v>21</v>
      </c>
      <c r="C18" s="7" t="n">
        <v>0.2</v>
      </c>
      <c r="D18" s="8"/>
      <c r="E18" s="8"/>
      <c r="F18" s="8"/>
    </row>
    <row r="19" customFormat="false" ht="14.9" hidden="false" customHeight="false" outlineLevel="0" collapsed="false">
      <c r="A19" s="5"/>
      <c r="B19" s="5" t="s">
        <v>22</v>
      </c>
      <c r="C19" s="16" t="n">
        <f aca="false">0.28*E14</f>
        <v>9.429</v>
      </c>
      <c r="D19" s="8" t="s">
        <v>23</v>
      </c>
      <c r="E19" s="8"/>
      <c r="F19" s="8"/>
    </row>
    <row r="20" customFormat="false" ht="13.1" hidden="false" customHeight="true" outlineLevel="0" collapsed="false">
      <c r="A20" s="5"/>
      <c r="B20" s="5" t="s">
        <v>24</v>
      </c>
      <c r="C20" s="8" t="n">
        <f aca="false">SQRT(2*POWER(C3,2)-E14*(1-C18)/(C19*C5*0.000001))</f>
        <v>104.710485216552</v>
      </c>
      <c r="D20" s="8" t="s">
        <v>25</v>
      </c>
      <c r="E20" s="17"/>
      <c r="F20" s="8"/>
    </row>
    <row r="21" customFormat="false" ht="13.1" hidden="false" customHeight="true" outlineLevel="0" collapsed="false">
      <c r="A21" s="5"/>
      <c r="B21" s="13" t="s">
        <v>26</v>
      </c>
      <c r="C21" s="8" t="n">
        <f aca="false">1.41*C4</f>
        <v>620.4</v>
      </c>
      <c r="D21" s="8" t="s">
        <v>25</v>
      </c>
      <c r="E21" s="5"/>
      <c r="F21" s="5"/>
    </row>
    <row r="22" customFormat="false" ht="13.1" hidden="false" customHeight="true" outlineLevel="0" collapsed="false">
      <c r="A22" s="9"/>
      <c r="B22" s="9"/>
      <c r="C22" s="9"/>
      <c r="D22" s="9"/>
      <c r="E22" s="9"/>
      <c r="F22" s="9"/>
    </row>
    <row r="23" customFormat="false" ht="13.1" hidden="false" customHeight="true" outlineLevel="0" collapsed="false">
      <c r="A23" s="4" t="n">
        <v>3</v>
      </c>
      <c r="B23" s="4" t="s">
        <v>27</v>
      </c>
      <c r="C23" s="4"/>
      <c r="D23" s="4"/>
      <c r="E23" s="4"/>
      <c r="F23" s="4"/>
    </row>
    <row r="24" customFormat="false" ht="13.1" hidden="false" customHeight="true" outlineLevel="0" collapsed="false">
      <c r="A24" s="5"/>
      <c r="B24" s="6" t="s">
        <v>28</v>
      </c>
      <c r="C24" s="7" t="n">
        <v>100000</v>
      </c>
      <c r="D24" s="7" t="s">
        <v>6</v>
      </c>
      <c r="E24" s="5"/>
      <c r="F24" s="5"/>
    </row>
    <row r="25" customFormat="false" ht="13.1" hidden="false" customHeight="true" outlineLevel="0" collapsed="false">
      <c r="A25" s="5"/>
      <c r="B25" s="6" t="s">
        <v>29</v>
      </c>
      <c r="C25" s="18" t="n">
        <v>0.5</v>
      </c>
      <c r="D25" s="7" t="s">
        <v>30</v>
      </c>
      <c r="E25" s="5"/>
      <c r="F25" s="5"/>
    </row>
    <row r="26" customFormat="false" ht="13.1" hidden="false" customHeight="true" outlineLevel="0" collapsed="false">
      <c r="A26" s="5"/>
      <c r="B26" s="5" t="s">
        <v>31</v>
      </c>
      <c r="C26" s="19" t="n">
        <f aca="false">C4*1.41+C27</f>
        <v>725.110485216552</v>
      </c>
      <c r="D26" s="8" t="s">
        <v>32</v>
      </c>
      <c r="E26" s="5"/>
      <c r="F26" s="5"/>
    </row>
    <row r="27" customFormat="false" ht="13.1" hidden="false" customHeight="true" outlineLevel="0" collapsed="false">
      <c r="A27" s="5"/>
      <c r="B27" s="5" t="s">
        <v>33</v>
      </c>
      <c r="C27" s="14" t="n">
        <f aca="false">((C25/(1-C25))*C20)</f>
        <v>104.710485216552</v>
      </c>
      <c r="D27" s="8" t="s">
        <v>34</v>
      </c>
      <c r="E27" s="5"/>
      <c r="F27" s="5"/>
    </row>
    <row r="28" customFormat="false" ht="13.1" hidden="false" customHeight="true" outlineLevel="0" collapsed="false">
      <c r="A28" s="4" t="n">
        <v>4</v>
      </c>
      <c r="B28" s="4" t="s">
        <v>35</v>
      </c>
      <c r="C28" s="4"/>
      <c r="D28" s="4"/>
      <c r="E28" s="4"/>
      <c r="F28" s="4"/>
    </row>
    <row r="29" customFormat="false" ht="13.1" hidden="false" customHeight="true" outlineLevel="0" collapsed="false">
      <c r="A29" s="5"/>
      <c r="B29" s="6" t="s">
        <v>36</v>
      </c>
      <c r="C29" s="7" t="n">
        <v>0.65</v>
      </c>
      <c r="D29" s="8" t="s">
        <v>37</v>
      </c>
      <c r="E29" s="5"/>
      <c r="F29" s="5"/>
    </row>
    <row r="30" customFormat="false" ht="13.1" hidden="false" customHeight="true" outlineLevel="0" collapsed="false">
      <c r="A30" s="5"/>
      <c r="B30" s="5" t="s">
        <v>38</v>
      </c>
      <c r="C30" s="20" t="n">
        <f aca="false">(POWER(C20*C25,2))/(2*E14*67000*C29)</f>
        <v>0.000934532896105878</v>
      </c>
      <c r="D30" s="8" t="s">
        <v>39</v>
      </c>
      <c r="E30" s="5"/>
      <c r="F30" s="5"/>
    </row>
    <row r="31" customFormat="false" ht="13.1" hidden="false" customHeight="true" outlineLevel="0" collapsed="false">
      <c r="A31" s="5"/>
      <c r="B31" s="13" t="s">
        <v>40</v>
      </c>
      <c r="C31" s="21" t="n">
        <f aca="false">(C20*C25)/(C30*67000)</f>
        <v>0.836162680546532</v>
      </c>
      <c r="D31" s="8" t="s">
        <v>41</v>
      </c>
      <c r="E31" s="5"/>
      <c r="F31" s="5"/>
    </row>
    <row r="32" customFormat="false" ht="13.1" hidden="false" customHeight="true" outlineLevel="0" collapsed="false">
      <c r="A32" s="5"/>
      <c r="B32" s="5" t="s">
        <v>42</v>
      </c>
      <c r="C32" s="21" t="n">
        <f aca="false">E14/(C20*C25)</f>
        <v>0.643202061958871</v>
      </c>
      <c r="D32" s="8" t="s">
        <v>41</v>
      </c>
      <c r="E32" s="5"/>
      <c r="F32" s="5"/>
    </row>
    <row r="33" customFormat="false" ht="13.1" hidden="false" customHeight="true" outlineLevel="0" collapsed="false">
      <c r="A33" s="5"/>
      <c r="B33" s="5" t="s">
        <v>43</v>
      </c>
      <c r="C33" s="22" t="n">
        <f aca="false">C32+C31/2</f>
        <v>1.06128340223214</v>
      </c>
      <c r="D33" s="8" t="s">
        <v>41</v>
      </c>
      <c r="E33" s="5"/>
      <c r="F33" s="5"/>
    </row>
    <row r="34" customFormat="false" ht="13.1" hidden="false" customHeight="true" outlineLevel="0" collapsed="false">
      <c r="A34" s="5"/>
      <c r="B34" s="5" t="s">
        <v>44</v>
      </c>
      <c r="C34" s="22" t="n">
        <f aca="false">SQRT((3*POWER(C32,2)+POWER(C31/2,2))*C25/3)</f>
        <v>0.48578436310245</v>
      </c>
      <c r="D34" s="8" t="s">
        <v>41</v>
      </c>
      <c r="E34" s="5"/>
      <c r="F34" s="5"/>
    </row>
    <row r="35" customFormat="false" ht="13.1" hidden="false" customHeight="true" outlineLevel="0" collapsed="false">
      <c r="A35" s="5"/>
      <c r="B35" s="5"/>
      <c r="C35" s="8"/>
      <c r="D35" s="8"/>
      <c r="E35" s="5"/>
      <c r="F35" s="5"/>
      <c r="I35" s="23"/>
    </row>
    <row r="36" customFormat="false" ht="13.1" hidden="false" customHeight="true" outlineLevel="0" collapsed="false">
      <c r="A36" s="4" t="n">
        <v>5</v>
      </c>
      <c r="B36" s="4" t="s">
        <v>45</v>
      </c>
      <c r="C36" s="4"/>
      <c r="D36" s="4"/>
      <c r="E36" s="4"/>
      <c r="F36" s="4"/>
    </row>
    <row r="37" customFormat="false" ht="13.1" hidden="false" customHeight="true" outlineLevel="0" collapsed="false">
      <c r="A37" s="5"/>
      <c r="B37" s="6" t="s">
        <v>46</v>
      </c>
      <c r="C37" s="7" t="n">
        <v>0.34875</v>
      </c>
      <c r="D37" s="8" t="s">
        <v>47</v>
      </c>
      <c r="E37" s="5"/>
      <c r="F37" s="5"/>
    </row>
    <row r="38" customFormat="false" ht="13.1" hidden="false" customHeight="true" outlineLevel="0" collapsed="false">
      <c r="A38" s="5"/>
      <c r="B38" s="5" t="s">
        <v>48</v>
      </c>
      <c r="C38" s="22" t="n">
        <f aca="false">C33*1.2</f>
        <v>1.27354008267856</v>
      </c>
      <c r="D38" s="8" t="s">
        <v>41</v>
      </c>
      <c r="E38" s="5"/>
      <c r="F38" s="5"/>
    </row>
    <row r="39" customFormat="false" ht="13.1" hidden="false" customHeight="true" outlineLevel="0" collapsed="false">
      <c r="A39" s="6"/>
      <c r="B39" s="6" t="s">
        <v>49</v>
      </c>
      <c r="C39" s="7" t="n">
        <v>52.5</v>
      </c>
      <c r="D39" s="8" t="s">
        <v>50</v>
      </c>
      <c r="E39" s="5"/>
      <c r="F39" s="5"/>
    </row>
    <row r="40" customFormat="false" ht="13.1" hidden="false" customHeight="true" outlineLevel="0" collapsed="false">
      <c r="A40" s="5"/>
      <c r="B40" s="5" t="s">
        <v>51</v>
      </c>
      <c r="C40" s="14" t="n">
        <f aca="false">(C30*C38)/(C39*C37)*1000000</f>
        <v>65.0030436195948</v>
      </c>
      <c r="D40" s="8" t="s">
        <v>52</v>
      </c>
      <c r="E40" s="5"/>
      <c r="F40" s="5"/>
    </row>
    <row r="41" customFormat="false" ht="13.1" hidden="false" customHeight="true" outlineLevel="0" collapsed="false">
      <c r="A41" s="4" t="n">
        <v>6</v>
      </c>
      <c r="B41" s="4" t="s">
        <v>53</v>
      </c>
      <c r="C41" s="4"/>
      <c r="D41" s="4"/>
      <c r="E41" s="4"/>
      <c r="F41" s="4"/>
    </row>
    <row r="42" customFormat="false" ht="13.1" hidden="false" customHeight="true" outlineLevel="0" collapsed="false">
      <c r="A42" s="5"/>
      <c r="B42" s="5" t="s">
        <v>54</v>
      </c>
      <c r="C42" s="24" t="n">
        <f aca="false">C40/(C27/(C8+C11))</f>
        <v>15.333470894376</v>
      </c>
      <c r="D42" s="8" t="s">
        <v>52</v>
      </c>
      <c r="E42" s="5"/>
      <c r="F42" s="5"/>
    </row>
    <row r="43" customFormat="false" ht="13.1" hidden="false" customHeight="true" outlineLevel="0" collapsed="false">
      <c r="A43" s="5"/>
      <c r="B43" s="13" t="s">
        <v>55</v>
      </c>
      <c r="C43" s="24" t="n">
        <f aca="false">(C42/(C8+C11))*(C9+C11)</f>
        <v>7.88401135054963</v>
      </c>
      <c r="D43" s="8" t="s">
        <v>52</v>
      </c>
      <c r="E43" s="5"/>
      <c r="F43" s="5"/>
    </row>
    <row r="44" customFormat="false" ht="13.1" hidden="false" customHeight="true" outlineLevel="0" collapsed="false">
      <c r="A44" s="5"/>
      <c r="B44" s="13" t="s">
        <v>56</v>
      </c>
      <c r="C44" s="14" t="n">
        <f aca="false">(C42/(C8+C11))*(C10+C11)</f>
        <v>0.434551806723208</v>
      </c>
      <c r="D44" s="8" t="s">
        <v>52</v>
      </c>
      <c r="E44" s="5"/>
      <c r="F44" s="5"/>
    </row>
    <row r="46" customFormat="false" ht="13.1" hidden="false" customHeight="true" outlineLevel="0" collapsed="false">
      <c r="A46" s="25" t="n">
        <v>7</v>
      </c>
      <c r="B46" s="25" t="s">
        <v>57</v>
      </c>
      <c r="C46" s="25"/>
      <c r="D46" s="25"/>
      <c r="E46" s="25"/>
      <c r="F46" s="25"/>
    </row>
    <row r="47" customFormat="false" ht="13.1" hidden="false" customHeight="true" outlineLevel="0" collapsed="false">
      <c r="A47" s="5"/>
      <c r="B47" s="5" t="s">
        <v>58</v>
      </c>
      <c r="C47" s="26" t="n">
        <f aca="false">40*3.1415*C39*((POWER(C40,2)/(1000*C30))-(1/C48))*0.00000001</f>
        <v>0.298283408670261</v>
      </c>
      <c r="D47" s="8" t="s">
        <v>59</v>
      </c>
      <c r="E47" s="5"/>
      <c r="F47" s="5"/>
    </row>
    <row r="48" customFormat="false" ht="13.1" hidden="false" customHeight="true" outlineLevel="0" collapsed="false">
      <c r="A48" s="5"/>
      <c r="B48" s="5" t="s">
        <v>60</v>
      </c>
      <c r="C48" s="8" t="n">
        <v>1850</v>
      </c>
      <c r="D48" s="8" t="s">
        <v>61</v>
      </c>
      <c r="E48" s="5"/>
      <c r="F48" s="5"/>
    </row>
    <row r="49" customFormat="false" ht="13.1" hidden="false" customHeight="true" outlineLevel="0" collapsed="false">
      <c r="A49" s="27"/>
      <c r="B49" s="27" t="s">
        <v>62</v>
      </c>
      <c r="C49" s="28" t="n">
        <f aca="false">SQRT((C30/(345*0.000000001)))</f>
        <v>52.0460469508054</v>
      </c>
      <c r="D49" s="29" t="s">
        <v>52</v>
      </c>
      <c r="E49" s="27"/>
      <c r="F49" s="27"/>
    </row>
    <row r="50" customFormat="false" ht="13.1" hidden="false" customHeight="true" outlineLevel="0" collapsed="false"/>
    <row r="51" customFormat="false" ht="14.45" hidden="false" customHeight="true" outlineLevel="0" collapsed="false">
      <c r="B51" s="5" t="s">
        <v>63</v>
      </c>
      <c r="C51" s="2" t="n">
        <f aca="false">C34*SQRT(((1-C25)/C25))*C27*F8/(C8+C11)</f>
        <v>2.05479463443188</v>
      </c>
      <c r="D51" s="2" t="s">
        <v>41</v>
      </c>
    </row>
    <row r="52" customFormat="false" ht="13.1" hidden="false" customHeight="true" outlineLevel="0" collapsed="false">
      <c r="B52" s="13" t="s">
        <v>64</v>
      </c>
      <c r="C52" s="2" t="n">
        <f aca="false">C34*SQRT(((1-C25)/C25))*C27*F9/(C9+C11)</f>
        <v>0.00892038587430882</v>
      </c>
      <c r="D52" s="2" t="s">
        <v>41</v>
      </c>
    </row>
    <row r="53" customFormat="false" ht="13.1" hidden="false" customHeight="true" outlineLevel="0" collapsed="false">
      <c r="B53" s="13" t="s">
        <v>65</v>
      </c>
      <c r="C53" s="30" t="n">
        <f aca="false">C34*SQRT(((1-C25)/C25))*C27*F10/(C10+C11)</f>
        <v>0</v>
      </c>
      <c r="D53" s="2" t="s">
        <v>41</v>
      </c>
    </row>
    <row r="54" customFormat="false" ht="13.1" hidden="false" customHeight="true" outlineLevel="0" collapsed="false"/>
    <row r="55" customFormat="false" ht="13.1" hidden="false" customHeight="true" outlineLevel="0" collapsed="false">
      <c r="B55" s="1" t="s">
        <v>66</v>
      </c>
      <c r="C55" s="1" t="n">
        <v>4</v>
      </c>
      <c r="D55" s="2" t="s">
        <v>41</v>
      </c>
    </row>
    <row r="56" customFormat="false" ht="13.1" hidden="false" customHeight="true" outlineLevel="0" collapsed="false">
      <c r="B56" s="31" t="s">
        <v>67</v>
      </c>
      <c r="C56" s="2" t="n">
        <f aca="false">SQRT(C51/C55/3.1415)</f>
        <v>0.404376290331257</v>
      </c>
      <c r="D56" s="2" t="s">
        <v>59</v>
      </c>
    </row>
    <row r="57" customFormat="false" ht="13.1" hidden="false" customHeight="true" outlineLevel="0" collapsed="false">
      <c r="B57" s="31" t="s">
        <v>68</v>
      </c>
      <c r="C57" s="2" t="n">
        <f aca="false">SQRT(C52/C55/3.1415)</f>
        <v>0.0266436238027969</v>
      </c>
      <c r="D57" s="2" t="s">
        <v>59</v>
      </c>
    </row>
    <row r="58" customFormat="false" ht="13.1" hidden="false" customHeight="true" outlineLevel="0" collapsed="false">
      <c r="B58" s="31" t="s">
        <v>69</v>
      </c>
      <c r="C58" s="2" t="n">
        <f aca="false">SQRT(C52/C55/3.1415)</f>
        <v>0.0266436238027969</v>
      </c>
      <c r="D58" s="2" t="s">
        <v>59</v>
      </c>
    </row>
  </sheetData>
  <mergeCells count="13">
    <mergeCell ref="B1:H1"/>
    <mergeCell ref="B2:F2"/>
    <mergeCell ref="A6:F6"/>
    <mergeCell ref="B12:D12"/>
    <mergeCell ref="B13:D13"/>
    <mergeCell ref="B14:D14"/>
    <mergeCell ref="A15:F16"/>
    <mergeCell ref="B17:F17"/>
    <mergeCell ref="A22:F22"/>
    <mergeCell ref="B23:F23"/>
    <mergeCell ref="B28:F28"/>
    <mergeCell ref="B36:F36"/>
    <mergeCell ref="B41:F41"/>
  </mergeCells>
  <hyperlinks>
    <hyperlink ref="B1" r:id="rId1" display="This document has been prepared with reference to AN4137. &#10;(https://www.onsemi.com/pub/Collateral/AN-4137.pdf.pdf).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6419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2021-01-19T11:01:07Z</dcterms:created>
  <dc:creator/>
  <dc:description/>
  <dc:language>en-US</dc:language>
  <cp:lastModifiedBy/>
  <dcterms:modified xsi:type="dcterms:W3CDTF">2024-01-15T13:14:23Z</dcterms:modified>
  <cp:revision>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